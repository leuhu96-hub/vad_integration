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ấu hình" sheetId="1" state="visible" r:id="rId3"/>
    <sheet name="Kết quả test" sheetId="2" state="visible" r:id="rId4"/>
    <sheet name="Phát hiện" sheetId="3" state="visible" r:id="rId5"/>
    <sheet name="Chú thí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<sst xmlns="http://schemas.openxmlformats.org/spreadsheetml/2006/main" count="102" uniqueCount="91">
  <si>
    <t xml:space="preserve">[SỐ LIỆU GIẢ ĐỊNH] Mọi số trong file này là ví dụ minh hoạ, chưa phải kết quả đo thật. Thay bằng số xuất từ app rồi xoá dòng này.</t>
  </si>
  <si>
    <t xml:space="preserve">Mục</t>
  </si>
  <si>
    <t xml:space="preserve">Giá trị</t>
  </si>
  <si>
    <t xml:space="preserve">Ghi chú</t>
  </si>
  <si>
    <t xml:space="preserve">Model</t>
  </si>
  <si>
    <t xml:space="preserve">FireRedVAD (ONNX)</t>
  </si>
  <si>
    <t xml:space="preserve">Dữ liệu</t>
  </si>
  <si>
    <t xml:space="preserve">120 file; dev 60 / test 60</t>
  </si>
  <si>
    <t xml:space="preserve">Giả định; phân tầng quality × category</t>
  </si>
  <si>
    <t xml:space="preserve">Speech trong bin ≥</t>
  </si>
  <si>
    <t xml:space="preserve">Bin 0.5 s là speech khi đoạn speech phủ ≥ tỷ lệ này</t>
  </si>
  <si>
    <t xml:space="preserve">Tiêu chí chọn</t>
  </si>
  <si>
    <t xml:space="preserve">MR ≤ x và FAR ≤ y, biên lớn nhất</t>
  </si>
  <si>
    <t xml:space="preserve">Chọn trên dev, chế độ strict</t>
  </si>
  <si>
    <t xml:space="preserve">MR tối đa x</t>
  </si>
  <si>
    <t xml:space="preserve">Chặt hơn mục tiêu 3% để chừa biên cho test</t>
  </si>
  <si>
    <t xml:space="preserve">FAR tối đa y</t>
  </si>
  <si>
    <t xml:space="preserve">Chặt hơn mục tiêu 10% để chừa biên cho test</t>
  </si>
  <si>
    <t xml:space="preserve">Lưới merge (ms)</t>
  </si>
  <si>
    <t xml:space="preserve">200, 300, 500, 800</t>
  </si>
  <si>
    <t xml:space="preserve">Lưới drop (ms)</t>
  </si>
  <si>
    <t xml:space="preserve">0, 100, 200</t>
  </si>
  <si>
    <t xml:space="preserve">Lưới pre/post pad (ms)</t>
  </si>
  <si>
    <t xml:space="preserve">0, 100, 200, 300</t>
  </si>
  <si>
    <t xml:space="preserve">Lưới làm mượt (ms)</t>
  </si>
  <si>
    <t xml:space="preserve">30, 50, 100</t>
  </si>
  <si>
    <t xml:space="preserve">5 frame × 10 ms = 50 ms là mặc định</t>
  </si>
  <si>
    <t xml:space="preserve">Bước ngưỡng khi tìm</t>
  </si>
  <si>
    <t xml:space="preserve">Bộ tham số: A5 (tối ưu, giả định) so với A4 (cài đặt user)</t>
  </si>
  <si>
    <t xml:space="preserve">Tham số</t>
  </si>
  <si>
    <t xml:space="preserve">A5 tối ưu</t>
  </si>
  <si>
    <t xml:space="preserve">A4 user</t>
  </si>
  <si>
    <t xml:space="preserve">Ngưỡng</t>
  </si>
  <si>
    <t xml:space="preserve">Merge: lặng ≥ (ms)</t>
  </si>
  <si>
    <t xml:space="preserve">Drop: speech &lt; (ms)</t>
  </si>
  <si>
    <t xml:space="preserve">Pre pad (ms)</t>
  </si>
  <si>
    <t xml:space="preserve">Post pad (ms)</t>
  </si>
  <si>
    <t xml:space="preserve">Làm mượt (ms)</t>
  </si>
  <si>
    <t xml:space="preserve">Giới hạn MR</t>
  </si>
  <si>
    <t xml:space="preserve">MR phải nhỏ hơn giá trị này (mục tiêu của user)</t>
  </si>
  <si>
    <t xml:space="preserve">Giới hạn FAR</t>
  </si>
  <si>
    <t xml:space="preserve">FAR phải nhỏ hơn hoặc bằng giá trị này</t>
  </si>
  <si>
    <t xml:space="preserve">Cấu hình</t>
  </si>
  <si>
    <t xml:space="preserve">MR</t>
  </si>
  <si>
    <t xml:space="preserve">FAR</t>
  </si>
  <si>
    <t xml:space="preserve">F1</t>
  </si>
  <si>
    <t xml:space="preserve">AUC</t>
  </si>
  <si>
    <t xml:space="preserve">Đạt MR &lt; 3% và FAR ≤ 10%?</t>
  </si>
  <si>
    <t xml:space="preserve">A0 (bin thô, ngưỡng 0.30)</t>
  </si>
  <si>
    <t xml:space="preserve">A4 (cài đặt user)</t>
  </si>
  <si>
    <t xml:space="preserve">A5 (tối ưu)</t>
  </si>
  <si>
    <t xml:space="preserve">CI95 của A5 (bootstrap theo file)</t>
  </si>
  <si>
    <t xml:space="preserve">Chỉ số</t>
  </si>
  <si>
    <t xml:space="preserve">CI95 thấp</t>
  </si>
  <si>
    <t xml:space="preserve">CI95 cao</t>
  </si>
  <si>
    <t xml:space="preserve">Cận trên ≤ giới hạn?</t>
  </si>
  <si>
    <t xml:space="preserve">A5 theo chế độ đếm bin</t>
  </si>
  <si>
    <t xml:space="preserve">Chế độ</t>
  </si>
  <si>
    <t xml:space="preserve">Giải thích</t>
  </si>
  <si>
    <t xml:space="preserve">Strict (mọi bin)</t>
  </si>
  <si>
    <t xml:space="preserve">Dùng để chọn và đánh giá</t>
  </si>
  <si>
    <t xml:space="preserve">Collar (bỏ bin biên)</t>
  </si>
  <si>
    <t xml:space="preserve">Lỗi nằm giữa vùng speech/lặng</t>
  </si>
  <si>
    <t xml:space="preserve">Chỉ bin biên</t>
  </si>
  <si>
    <t xml:space="preserve">Lỗi sát ranh giới; GT chỉ chính xác 0.5 s</t>
  </si>
  <si>
    <t xml:space="preserve">Theo nhóm (test, strict, A5)</t>
  </si>
  <si>
    <t xml:space="preserve">Nhóm</t>
  </si>
  <si>
    <t xml:space="preserve">Số file</t>
  </si>
  <si>
    <t xml:space="preserve">Category: hội thoại</t>
  </si>
  <si>
    <t xml:space="preserve">Category: tiếng ồn</t>
  </si>
  <si>
    <t xml:space="preserve">Category: nhạc nền</t>
  </si>
  <si>
    <t xml:space="preserve">FAR cao nhất, kéo FAR chung lên</t>
  </si>
  <si>
    <t xml:space="preserve">Tổng số file</t>
  </si>
  <si>
    <t xml:space="preserve">Nội dung</t>
  </si>
  <si>
    <t xml:space="preserve">Phát hiện 1</t>
  </si>
  <si>
    <t xml:space="preserve">Pad hai đầu và merge lớn hơn làm MR giảm nhiều nhất; FAR tăng nhẹ và drop 100 ms bù lại một phần.</t>
  </si>
  <si>
    <t xml:space="preserve">Phát hiện 2</t>
  </si>
  <si>
    <t xml:space="preserve">Hạ ngưỡng từ 0.40 xuống 0.30 một mình làm FAR vượt 10%; phải kết hợp merge và drop mới giữ FAR dưới 10%.</t>
  </si>
  <si>
    <t xml:space="preserve">Phát hiện 3</t>
  </si>
  <si>
    <t xml:space="preserve">Test kém dev một chút (MR dev 2.1% so với test 2.4%; FAR dev 8.4% so với 8.7%), nên đặt x, y chặt hơn mục tiêu.</t>
  </si>
  <si>
    <t xml:space="preserve">Phát hiện 4</t>
  </si>
  <si>
    <t xml:space="preserve">Category nhạc nền có FAR 15%, là nhóm yếu nhất.</t>
  </si>
  <si>
    <t xml:space="preserve">Hạn chế</t>
  </si>
  <si>
    <t xml:space="preserve">GT chỉ chính xác tới 0.5 s nên lỗi ở biên bị cộng vào cả MR và FAR. Tập test nhỏ nên CI95 rộng. Tham số chọn trên dev có thể bị lạc quan.</t>
  </si>
  <si>
    <t xml:space="preserve">Việc tiếp theo</t>
  </si>
  <si>
    <t xml:space="preserve">Thay số giả định bằng số xuất từ app (xlsx, ảnh ROC); kiểm tra trên tập độc lập; xem xét xử lý riêng nhóm nhạc nền.</t>
  </si>
  <si>
    <t xml:space="preserve">Chú thích</t>
  </si>
  <si>
    <t xml:space="preserve">Chữ xanh dương = số nhập tay (giả định). Chữ đen = công thức.</t>
  </si>
  <si>
    <t xml:space="preserve">Nền vàng = ô sửa được: giới hạn MR/FAR, bộ tham số A5, x và y.</t>
  </si>
  <si>
    <t xml:space="preserve">Cột 'Đạt?' và 'Cận trên ≤ giới hạn?' tự tính lại khi bạn đổi số hoặc giới hạn.</t>
  </si>
  <si>
    <t xml:space="preserve">Nguồn thực tế: file .xlsx xuất từ chế độ Dev của app vad_integration (sheet 'Quét ngưỡng').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</si>
</sst>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%"/>
    <numFmt numFmtId="167" formatCode="0.00"/>
    <numFmt numFmtId="168" formatCode="0"/>
    <numFmt numFmtId="169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FFFFF"/>
      </patternFill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/>
    </row>
    <row r="5" customFormat="false" ht="15" hidden="false" customHeight="false" outlineLevel="0" collapsed="false">
      <c r="A5" s="3" t="s">
        <v>6</v>
      </c>
      <c r="B5" s="3" t="s">
        <v>7</v>
      </c>
      <c r="C5" s="3" t="s">
        <v>8</v>
      </c>
    </row>
    <row r="6" customFormat="false" ht="15" hidden="false" customHeight="false" outlineLevel="0" collapsed="false">
      <c r="A6" s="3" t="s">
        <v>9</v>
      </c>
      <c r="B6" s="4" t="n">
        <v>0.2</v>
      </c>
      <c r="C6" s="3" t="s">
        <v>10</v>
      </c>
    </row>
    <row r="7" customFormat="false" ht="15" hidden="false" customHeight="false" outlineLevel="0" collapsed="false">
      <c r="A7" s="3" t="s">
        <v>11</v>
      </c>
      <c r="B7" s="3" t="s">
        <v>12</v>
      </c>
      <c r="C7" s="3" t="s">
        <v>13</v>
      </c>
    </row>
    <row r="8" customFormat="false" ht="15" hidden="false" customHeight="false" outlineLevel="0" collapsed="false">
      <c r="A8" s="3" t="s">
        <v>14</v>
      </c>
      <c r="B8" s="5" t="n">
        <v>0.025</v>
      </c>
      <c r="C8" s="3" t="s">
        <v>15</v>
      </c>
    </row>
    <row r="9" customFormat="false" ht="15" hidden="false" customHeight="false" outlineLevel="0" collapsed="false">
      <c r="A9" s="3" t="s">
        <v>16</v>
      </c>
      <c r="B9" s="5" t="n">
        <v>0.09</v>
      </c>
      <c r="C9" s="3" t="s">
        <v>17</v>
      </c>
    </row>
    <row r="10" customFormat="false" ht="15" hidden="false" customHeight="false" outlineLevel="0" collapsed="false">
      <c r="A10" s="3" t="s">
        <v>18</v>
      </c>
      <c r="B10" s="3" t="s">
        <v>19</v>
      </c>
      <c r="C10" s="3"/>
    </row>
    <row r="11" customFormat="false" ht="15" hidden="false" customHeight="false" outlineLevel="0" collapsed="false">
      <c r="A11" s="3" t="s">
        <v>20</v>
      </c>
      <c r="B11" s="3" t="s">
        <v>21</v>
      </c>
      <c r="C11" s="3"/>
    </row>
    <row r="12" customFormat="false" ht="15" hidden="false" customHeight="false" outlineLevel="0" collapsed="false">
      <c r="A12" s="3" t="s">
        <v>22</v>
      </c>
      <c r="B12" s="3" t="s">
        <v>23</v>
      </c>
      <c r="C12" s="3"/>
    </row>
    <row r="13" customFormat="false" ht="15" hidden="false" customHeight="false" outlineLevel="0" collapsed="false">
      <c r="A13" s="3" t="s">
        <v>24</v>
      </c>
      <c r="B13" s="3" t="s">
        <v>25</v>
      </c>
      <c r="C13" s="3" t="s">
        <v>26</v>
      </c>
    </row>
    <row r="14" customFormat="false" ht="15" hidden="false" customHeight="false" outlineLevel="0" collapsed="false">
      <c r="A14" s="3" t="s">
        <v>27</v>
      </c>
      <c r="B14" s="6" t="n">
        <v>0.05</v>
      </c>
      <c r="C14" s="3"/>
    </row>
    <row r="16" customFormat="false" ht="15" hidden="false" customHeight="false" outlineLevel="0" collapsed="false">
      <c r="A16" s="7" t="s">
        <v>28</v>
      </c>
    </row>
    <row r="17" customFormat="false" ht="15" hidden="false" customHeight="false" outlineLevel="0" collapsed="false">
      <c r="A17" s="2" t="s">
        <v>29</v>
      </c>
      <c r="B17" s="2" t="s">
        <v>30</v>
      </c>
      <c r="C17" s="2" t="s">
        <v>31</v>
      </c>
    </row>
    <row r="18" customFormat="false" ht="15" hidden="false" customHeight="false" outlineLevel="0" collapsed="false">
      <c r="A18" s="8" t="s">
        <v>32</v>
      </c>
      <c r="B18" s="9" t="n">
        <v>0.3</v>
      </c>
      <c r="C18" s="10" t="n">
        <v>0.4</v>
      </c>
    </row>
    <row r="19" customFormat="false" ht="15" hidden="false" customHeight="false" outlineLevel="0" collapsed="false">
      <c r="A19" s="8" t="s">
        <v>33</v>
      </c>
      <c r="B19" s="11" t="n">
        <v>500</v>
      </c>
      <c r="C19" s="12" t="n">
        <v>200</v>
      </c>
    </row>
    <row r="20" customFormat="false" ht="15" hidden="false" customHeight="false" outlineLevel="0" collapsed="false">
      <c r="A20" s="8" t="s">
        <v>34</v>
      </c>
      <c r="B20" s="11" t="n">
        <v>100</v>
      </c>
      <c r="C20" s="12" t="n">
        <v>200</v>
      </c>
    </row>
    <row r="21" customFormat="false" ht="15" hidden="false" customHeight="false" outlineLevel="0" collapsed="false">
      <c r="A21" s="8" t="s">
        <v>35</v>
      </c>
      <c r="B21" s="11" t="n">
        <v>200</v>
      </c>
      <c r="C21" s="12" t="n">
        <v>0</v>
      </c>
    </row>
    <row r="22" customFormat="false" ht="15" hidden="false" customHeight="false" outlineLevel="0" collapsed="false">
      <c r="A22" s="8" t="s">
        <v>36</v>
      </c>
      <c r="B22" s="11" t="n">
        <v>200</v>
      </c>
      <c r="C22" s="12" t="n">
        <v>0</v>
      </c>
    </row>
    <row r="23" customFormat="false" ht="15" hidden="false" customHeight="false" outlineLevel="0" collapsed="false">
      <c r="A23" s="8" t="s">
        <v>37</v>
      </c>
      <c r="B23" s="11" t="n">
        <v>50</v>
      </c>
      <c r="C23" s="12" t="n">
        <v>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7" t="s">
        <v>38</v>
      </c>
      <c r="B3" s="13" t="n">
        <v>0.03</v>
      </c>
      <c r="C3" s="14" t="s">
        <v>39</v>
      </c>
    </row>
    <row r="4" customFormat="false" ht="15" hidden="false" customHeight="false" outlineLevel="0" collapsed="false">
      <c r="A4" s="7" t="s">
        <v>40</v>
      </c>
      <c r="B4" s="13" t="n">
        <v>0.1</v>
      </c>
      <c r="C4" s="14" t="s">
        <v>41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</row>
    <row r="7" customFormat="false" ht="15" hidden="false" customHeight="false" outlineLevel="0" collapsed="false">
      <c r="A7" s="8" t="s">
        <v>48</v>
      </c>
      <c r="B7" s="15" t="n">
        <v>0.048</v>
      </c>
      <c r="C7" s="15" t="n">
        <v>0.135</v>
      </c>
      <c r="D7" s="10" t="n">
        <v>0.9</v>
      </c>
      <c r="E7" s="16" t="n">
        <v>0.985</v>
      </c>
      <c r="F7" s="17" t="str">
        <f aca="false">IF(AND(B7&lt;$B$3,C7&lt;=$B$4),"Có","Không")</f>
        <v>Không</v>
      </c>
    </row>
    <row r="8" customFormat="false" ht="15" hidden="false" customHeight="false" outlineLevel="0" collapsed="false">
      <c r="A8" s="8" t="s">
        <v>49</v>
      </c>
      <c r="B8" s="15" t="n">
        <v>0.056</v>
      </c>
      <c r="C8" s="15" t="n">
        <v>0.092</v>
      </c>
      <c r="D8" s="10" t="n">
        <v>0.91</v>
      </c>
      <c r="E8" s="16" t="n">
        <v>0.987</v>
      </c>
      <c r="F8" s="17" t="str">
        <f aca="false">IF(AND(B8&lt;$B$3,C8&lt;=$B$4),"Có","Không")</f>
        <v>Không</v>
      </c>
    </row>
    <row r="9" customFormat="false" ht="15" hidden="false" customHeight="false" outlineLevel="0" collapsed="false">
      <c r="A9" s="8" t="s">
        <v>50</v>
      </c>
      <c r="B9" s="15" t="n">
        <v>0.024</v>
      </c>
      <c r="C9" s="15" t="n">
        <v>0.087</v>
      </c>
      <c r="D9" s="10" t="n">
        <v>0.93</v>
      </c>
      <c r="E9" s="16" t="n">
        <v>0.989</v>
      </c>
      <c r="F9" s="17" t="str">
        <f aca="false">IF(AND(B9&lt;$B$3,C9&lt;=$B$4),"Có","Không")</f>
        <v>Có</v>
      </c>
    </row>
    <row r="12" customFormat="false" ht="15" hidden="false" customHeight="false" outlineLevel="0" collapsed="false">
      <c r="A12" s="7" t="s">
        <v>51</v>
      </c>
    </row>
    <row r="13" customFormat="false" ht="15" hidden="false" customHeight="false" outlineLevel="0" collapsed="false">
      <c r="A13" s="2" t="s">
        <v>52</v>
      </c>
      <c r="B13" s="2" t="s">
        <v>2</v>
      </c>
      <c r="C13" s="2" t="s">
        <v>53</v>
      </c>
      <c r="D13" s="2" t="s">
        <v>54</v>
      </c>
      <c r="E13" s="2" t="s">
        <v>55</v>
      </c>
      <c r="F13" s="2"/>
    </row>
    <row r="14" customFormat="false" ht="15" hidden="false" customHeight="false" outlineLevel="0" collapsed="false">
      <c r="A14" s="8" t="s">
        <v>43</v>
      </c>
      <c r="B14" s="18" t="n">
        <f aca="false">B9</f>
        <v>0.024</v>
      </c>
      <c r="C14" s="15" t="n">
        <v>0.016</v>
      </c>
      <c r="D14" s="15" t="n">
        <v>0.034</v>
      </c>
      <c r="E14" s="17" t="str">
        <f aca="false">IF(D14&lt;=$B$3,"Có","Không")</f>
        <v>Không</v>
      </c>
    </row>
    <row r="15" customFormat="false" ht="15" hidden="false" customHeight="false" outlineLevel="0" collapsed="false">
      <c r="A15" s="8" t="s">
        <v>44</v>
      </c>
      <c r="B15" s="18" t="n">
        <f aca="false">C9</f>
        <v>0.087</v>
      </c>
      <c r="C15" s="15" t="n">
        <v>0.069</v>
      </c>
      <c r="D15" s="15" t="n">
        <v>0.108</v>
      </c>
      <c r="E15" s="17" t="str">
        <f aca="false">IF(D15&lt;=$B$4,"Có","Không")</f>
        <v>Không</v>
      </c>
    </row>
    <row r="18" customFormat="false" ht="15" hidden="false" customHeight="false" outlineLevel="0" collapsed="false">
      <c r="A18" s="7" t="s">
        <v>56</v>
      </c>
    </row>
    <row r="19" customFormat="false" ht="15" hidden="false" customHeight="false" outlineLevel="0" collapsed="false">
      <c r="A19" s="2" t="s">
        <v>57</v>
      </c>
      <c r="B19" s="2" t="s">
        <v>43</v>
      </c>
      <c r="C19" s="2" t="s">
        <v>44</v>
      </c>
      <c r="D19" s="2"/>
      <c r="E19" s="2"/>
      <c r="F19" s="2" t="s">
        <v>58</v>
      </c>
    </row>
    <row r="20" customFormat="false" ht="15" hidden="false" customHeight="false" outlineLevel="0" collapsed="false">
      <c r="A20" s="8" t="s">
        <v>59</v>
      </c>
      <c r="B20" s="18" t="n">
        <f aca="false">B9</f>
        <v>0.024</v>
      </c>
      <c r="C20" s="18" t="n">
        <f aca="false">C9</f>
        <v>0.087</v>
      </c>
      <c r="D20" s="19"/>
      <c r="E20" s="19"/>
      <c r="F20" s="8" t="s">
        <v>60</v>
      </c>
    </row>
    <row r="21" customFormat="false" ht="15" hidden="false" customHeight="false" outlineLevel="0" collapsed="false">
      <c r="A21" s="8" t="s">
        <v>61</v>
      </c>
      <c r="B21" s="15" t="n">
        <v>0.011</v>
      </c>
      <c r="C21" s="15" t="n">
        <v>0.04</v>
      </c>
      <c r="D21" s="19"/>
      <c r="E21" s="19"/>
      <c r="F21" s="8" t="s">
        <v>62</v>
      </c>
    </row>
    <row r="22" customFormat="false" ht="15" hidden="false" customHeight="false" outlineLevel="0" collapsed="false">
      <c r="A22" s="8" t="s">
        <v>63</v>
      </c>
      <c r="B22" s="15" t="n">
        <v>0.095</v>
      </c>
      <c r="C22" s="15" t="n">
        <v>0.28</v>
      </c>
      <c r="D22" s="19"/>
      <c r="E22" s="19"/>
      <c r="F22" s="8" t="s">
        <v>64</v>
      </c>
    </row>
    <row r="25" customFormat="false" ht="15" hidden="false" customHeight="false" outlineLevel="0" collapsed="false">
      <c r="A25" s="7" t="s">
        <v>65</v>
      </c>
    </row>
    <row r="26" customFormat="false" ht="15" hidden="false" customHeight="false" outlineLevel="0" collapsed="false">
      <c r="A26" s="2" t="s">
        <v>66</v>
      </c>
      <c r="B26" s="2" t="s">
        <v>67</v>
      </c>
      <c r="C26" s="2" t="s">
        <v>43</v>
      </c>
      <c r="D26" s="2" t="s">
        <v>44</v>
      </c>
      <c r="E26" s="2"/>
      <c r="F26" s="2" t="s">
        <v>3</v>
      </c>
    </row>
    <row r="27" customFormat="false" ht="15" hidden="false" customHeight="false" outlineLevel="0" collapsed="false">
      <c r="A27" s="8" t="s">
        <v>68</v>
      </c>
      <c r="B27" s="20" t="n">
        <v>25</v>
      </c>
      <c r="C27" s="15" t="n">
        <v>0.018</v>
      </c>
      <c r="D27" s="15" t="n">
        <v>0.06</v>
      </c>
      <c r="E27" s="19"/>
      <c r="F27" s="8"/>
    </row>
    <row r="28" customFormat="false" ht="15" hidden="false" customHeight="false" outlineLevel="0" collapsed="false">
      <c r="A28" s="8" t="s">
        <v>69</v>
      </c>
      <c r="B28" s="20" t="n">
        <v>20</v>
      </c>
      <c r="C28" s="15" t="n">
        <v>0.026</v>
      </c>
      <c r="D28" s="15" t="n">
        <v>0.085</v>
      </c>
      <c r="E28" s="19"/>
      <c r="F28" s="8"/>
    </row>
    <row r="29" customFormat="false" ht="15" hidden="false" customHeight="false" outlineLevel="0" collapsed="false">
      <c r="A29" s="8" t="s">
        <v>70</v>
      </c>
      <c r="B29" s="20" t="n">
        <v>15</v>
      </c>
      <c r="C29" s="15" t="n">
        <v>0.033</v>
      </c>
      <c r="D29" s="15" t="n">
        <v>0.15</v>
      </c>
      <c r="E29" s="19"/>
      <c r="F29" s="8" t="s">
        <v>71</v>
      </c>
    </row>
    <row r="30" customFormat="false" ht="15" hidden="false" customHeight="false" outlineLevel="0" collapsed="false">
      <c r="A30" s="7" t="s">
        <v>72</v>
      </c>
      <c r="B30" s="14" t="n">
        <f aca="false">SUM(B27:B29)</f>
        <v>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73</v>
      </c>
    </row>
    <row r="4" customFormat="false" ht="45" hidden="false" customHeight="true" outlineLevel="0" collapsed="false">
      <c r="A4" s="21" t="s">
        <v>74</v>
      </c>
      <c r="B4" s="3" t="s">
        <v>75</v>
      </c>
    </row>
    <row r="5" customFormat="false" ht="45" hidden="false" customHeight="true" outlineLevel="0" collapsed="false">
      <c r="A5" s="21" t="s">
        <v>76</v>
      </c>
      <c r="B5" s="3" t="s">
        <v>77</v>
      </c>
    </row>
    <row r="6" customFormat="false" ht="45" hidden="false" customHeight="true" outlineLevel="0" collapsed="false">
      <c r="A6" s="21" t="s">
        <v>78</v>
      </c>
      <c r="B6" s="3" t="s">
        <v>79</v>
      </c>
    </row>
    <row r="7" customFormat="false" ht="45" hidden="false" customHeight="true" outlineLevel="0" collapsed="false">
      <c r="A7" s="21" t="s">
        <v>80</v>
      </c>
      <c r="B7" s="3" t="s">
        <v>81</v>
      </c>
    </row>
    <row r="8" customFormat="false" ht="45" hidden="false" customHeight="true" outlineLevel="0" collapsed="false">
      <c r="A8" s="21" t="s">
        <v>82</v>
      </c>
      <c r="B8" s="3" t="s">
        <v>83</v>
      </c>
    </row>
    <row r="9" customFormat="false" ht="45" hidden="false" customHeight="true" outlineLevel="0" collapsed="false">
      <c r="A9" s="21" t="s">
        <v>84</v>
      </c>
      <c r="B9" s="3" t="s">
        <v>85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86</v>
      </c>
    </row>
    <row r="2" customFormat="false" ht="15" hidden="false" customHeight="false" outlineLevel="0" collapsed="false">
      <c r="A2" s="14" t="s">
        <v>87</v>
      </c>
    </row>
    <row r="3" customFormat="false" ht="15" hidden="false" customHeight="false" outlineLevel="0" collapsed="false">
      <c r="A3" s="14" t="s">
        <v>88</v>
      </c>
    </row>
    <row r="4" customFormat="false" ht="15" hidden="false" customHeight="false" outlineLevel="0" collapsed="false">
      <c r="A4" s="14" t="s">
        <v>89</v>
      </c>
    </row>
    <row r="5" customFormat="false" ht="15" hidden="false" customHeight="false" outlineLevel="0" collapsed="false">
      <c r="A5" s="1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2026-10-28T06:14:49Z</dcterms:created>
  <dc:creator>openpyxl</dc:creator>
  <dc:description/>
  <dc:language>en-US</dc:language>
  <cp:lastModifiedBy/>
  <dcterms:modified xsi:type="dcterms:W3CDTF">2026-10-28T06:14:49Z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